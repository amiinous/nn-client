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an\source\repos\DeepLearning\"/>
    </mc:Choice>
  </mc:AlternateContent>
  <xr:revisionPtr revIDLastSave="0" documentId="13_ncr:1_{4A58F27E-D5E8-4589-9E9B-E7C838F93378}" xr6:coauthVersionLast="40" xr6:coauthVersionMax="40" xr10:uidLastSave="{00000000-0000-0000-0000-000000000000}"/>
  <bookViews>
    <workbookView xWindow="0" yWindow="0" windowWidth="15468" windowHeight="2340" tabRatio="288" xr2:uid="{D4C5E975-3B8E-4EEC-A74F-E81568F927C6}"/>
  </bookViews>
  <sheets>
    <sheet name="Blad1" sheetId="1" r:id="rId1"/>
  </sheets>
  <definedNames>
    <definedName name="_xlnm.Print_Area" localSheetId="0">Blad1!$A$1:$R$28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Q3" i="1"/>
  <c r="R5" i="1" s="1"/>
  <c r="F3" i="1"/>
  <c r="F7" i="1" l="1"/>
  <c r="G3" i="1" l="1"/>
  <c r="G7" i="1" l="1"/>
  <c r="L7" i="1" s="1"/>
  <c r="L3" i="1" l="1"/>
  <c r="M3" i="1" s="1"/>
  <c r="M7" i="1"/>
  <c r="P7" i="1" s="1"/>
  <c r="I8" i="1" l="1"/>
  <c r="J8" i="1" s="1"/>
  <c r="C3" i="1"/>
  <c r="D3" i="1" s="1"/>
  <c r="I5" i="1"/>
  <c r="J5" i="1" s="1"/>
  <c r="I9" i="1"/>
  <c r="I7" i="1"/>
  <c r="J7" i="1" s="1"/>
  <c r="Q7" i="1"/>
  <c r="C7" i="1" l="1"/>
  <c r="D7" i="1" s="1"/>
  <c r="C8" i="1"/>
  <c r="D8" i="1" s="1"/>
  <c r="I4" i="1"/>
  <c r="J4" i="1" s="1"/>
  <c r="C5" i="1"/>
  <c r="D5" i="1" s="1"/>
  <c r="C9" i="1"/>
  <c r="D9" i="1" s="1"/>
  <c r="I3" i="1"/>
  <c r="J3" i="1" s="1"/>
  <c r="C4" i="1"/>
  <c r="D4" i="1" s="1"/>
  <c r="J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Kristian</author>
  </authors>
  <commentList>
    <comment ref="J3" authorId="0" shapeId="0" xr:uid="{E4CF8B57-F63B-4272-8E54-D8011CE89869}">
      <text>
        <r>
          <rPr>
            <b/>
            <sz val="9"/>
            <color indexed="81"/>
            <rFont val="Tahoma"/>
            <family val="2"/>
          </rPr>
          <t>Kristian:</t>
        </r>
        <r>
          <rPr>
            <sz val="9"/>
            <color indexed="81"/>
            <rFont val="Tahoma"/>
            <family val="2"/>
          </rPr>
          <t xml:space="preserve">
w5 - LR * δ-H1</t>
        </r>
      </text>
    </comment>
  </commentList>
</comments>
</file>

<file path=xl/sharedStrings.xml><?xml version="1.0" encoding="utf-8"?>
<sst xmlns="http://schemas.openxmlformats.org/spreadsheetml/2006/main" count="20" uniqueCount="18">
  <si>
    <t>O-out</t>
  </si>
  <si>
    <t>Target</t>
  </si>
  <si>
    <t>Error</t>
  </si>
  <si>
    <t>Learning Rate</t>
  </si>
  <si>
    <t>Input</t>
  </si>
  <si>
    <t>Total Error</t>
  </si>
  <si>
    <t>Iterations</t>
  </si>
  <si>
    <t>O1</t>
  </si>
  <si>
    <t>O2</t>
  </si>
  <si>
    <t>δ-out</t>
  </si>
  <si>
    <t>δ-H</t>
  </si>
  <si>
    <t>δ-I</t>
  </si>
  <si>
    <t>w1 - w4</t>
  </si>
  <si>
    <t>w NEW</t>
  </si>
  <si>
    <t>h-out</t>
  </si>
  <si>
    <t>w5 - w8</t>
  </si>
  <si>
    <t>h-in</t>
  </si>
  <si>
    <t>O-in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</si>
</sst>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B7E7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ont="1" applyFill="1"/>
    <xf numFmtId="0" fontId="2" fillId="2" borderId="0" xfId="0" applyFont="1" applyFill="1"/>
    <xf numFmtId="0" fontId="0" fillId="6" borderId="0" xfId="0" applyFill="1"/>
    <xf numFmtId="0" fontId="1" fillId="0" borderId="0" xfId="0" applyFont="1"/>
    <xf numFmtId="0" fontId="4" fillId="7" borderId="0" xfId="0" applyFont="1" applyFill="1"/>
    <xf numFmtId="0" fontId="4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0" fillId="8" borderId="0" xfId="0" applyFont="1" applyFill="1"/>
    <xf numFmtId="0" fontId="5" fillId="0" borderId="0" xfId="0" applyFont="1"/>
    <xf numFmtId="0" fontId="9" fillId="0" borderId="0" xfId="0" applyFont="1"/>
    <xf numFmtId="0" fontId="0" fillId="9" borderId="0" xfId="0" applyFont="1" applyFill="1"/>
    <xf numFmtId="0" fontId="0" fillId="9" borderId="0" xfId="0" applyFill="1"/>
    <xf numFmtId="0" fontId="0" fillId="10" borderId="0" xfId="0" applyFill="1"/>
    <xf numFmtId="0" fontId="10" fillId="0" borderId="0" xfId="0" applyFont="1" applyFill="1"/>
    <xf numFmtId="0" fontId="11" fillId="6" borderId="0" xfId="0" applyFont="1" applyFill="1" applyAlignment="1">
      <alignment horizontal="center"/>
    </xf>
    <xf numFmtId="0" fontId="0" fillId="0" borderId="0" xfId="0" applyFill="1"/>
    <xf numFmtId="0" fontId="8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7E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Training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Blad1!$S$1</c:f>
              <c:strCache>
                <c:ptCount val="1"/>
                <c:pt idx="0">
                  <c:v>O1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Blad1!$S$2:$S$502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9-43E2-822B-7C07EA05DC63}"/>
            </c:ext>
          </c:extLst>
        </c:ser>
        <c:ser>
          <c:idx val="1"/>
          <c:order val="1"/>
          <c:tx>
            <c:strRef>
              <c:f>Blad1!$T$1</c:f>
              <c:strCache>
                <c:ptCount val="1"/>
                <c:pt idx="0">
                  <c:v>O2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Blad1!$T$2:$T$502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9-43E2-822B-7C07EA05DC63}"/>
            </c:ext>
          </c:extLst>
        </c:ser>
        <c:ser>
          <c:idx val="2"/>
          <c:order val="2"/>
          <c:tx>
            <c:strRef>
              <c:f>Blad1!$U$1</c:f>
              <c:strCache>
                <c:ptCount val="1"/>
                <c:pt idx="0">
                  <c:v>Error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Blad1!$U$2:$U$502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9-43E2-822B-7C07EA05D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149944"/>
        <c:axId val="446150584"/>
      </c:lineChart>
      <c:catAx>
        <c:axId val="446149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6150584"/>
        <c:crosses val="autoZero"/>
        <c:auto val="1"/>
        <c:lblAlgn val="ctr"/>
        <c:lblOffset val="100"/>
        <c:tickMarkSkip val="20"/>
        <c:noMultiLvlLbl val="0"/>
      </c:catAx>
      <c:valAx>
        <c:axId val="44615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61499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182880</xdr:rowOff>
        </xdr:from>
        <xdr:to>
          <xdr:col>3</xdr:col>
          <xdr:colOff>876300</xdr:colOff>
          <xdr:row>12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10</xdr:row>
          <xdr:rowOff>182880</xdr:rowOff>
        </xdr:from>
        <xdr:to>
          <xdr:col>6</xdr:col>
          <xdr:colOff>91440</xdr:colOff>
          <xdr:row>12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283434</xdr:colOff>
      <xdr:row>10</xdr:row>
      <xdr:rowOff>11281</xdr:rowOff>
    </xdr:from>
    <xdr:to>
      <xdr:col>17</xdr:col>
      <xdr:colOff>627529</xdr:colOff>
      <xdr:row>27</xdr:row>
      <xdr:rowOff>87481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13</xdr:row>
      <xdr:rowOff>0</xdr:rowOff>
    </xdr:from>
    <xdr:to>
      <xdr:col>6</xdr:col>
      <xdr:colOff>268941</xdr:colOff>
      <xdr:row>27</xdr:row>
      <xdr:rowOff>145619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EDF91404-526D-405D-87FD-654CDA53A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278529"/>
          <a:ext cx="4613088" cy="27080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EC97-7F8B-40CA-8966-8987D0C34334}">
  <sheetPr codeName="Blad1"/>
  <dimension ref="A1:U13"/>
  <sheetViews>
    <sheetView tabSelected="1" zoomScale="102" zoomScaleNormal="102" workbookViewId="0">
      <selection activeCell="P3" sqref="P3"/>
    </sheetView>
  </sheetViews>
  <sheetFormatPr defaultRowHeight="14.4" x14ac:dyDescent="0.3"/>
  <cols>
    <col min="2" max="2" width="12.44140625" bestFit="1" customWidth="1"/>
    <col min="3" max="3" width="14" customWidth="1"/>
    <col min="4" max="4" width="13.6640625" customWidth="1"/>
    <col min="5" max="5" width="1.6640625" customWidth="1"/>
    <col min="6" max="6" width="12.6640625" bestFit="1" customWidth="1"/>
    <col min="7" max="7" width="9.6640625" bestFit="1" customWidth="1"/>
    <col min="9" max="9" width="12.6640625" bestFit="1" customWidth="1"/>
    <col min="10" max="10" width="12" bestFit="1" customWidth="1"/>
    <col min="11" max="11" width="1.88671875" customWidth="1"/>
    <col min="12" max="12" width="13.44140625" customWidth="1"/>
    <col min="13" max="13" width="12.33203125" customWidth="1"/>
    <col min="14" max="14" width="2" customWidth="1"/>
    <col min="16" max="16" width="12.6640625" bestFit="1" customWidth="1"/>
    <col min="17" max="17" width="12.88671875" customWidth="1"/>
    <col min="18" max="18" width="13.21875" customWidth="1"/>
  </cols>
  <sheetData>
    <row r="1" spans="1:21" s="6" customFormat="1" x14ac:dyDescent="0.3">
      <c r="A1" s="7" t="s">
        <v>4</v>
      </c>
      <c r="B1" s="7" t="s">
        <v>12</v>
      </c>
      <c r="C1" s="8" t="s">
        <v>11</v>
      </c>
      <c r="D1" s="7" t="s">
        <v>13</v>
      </c>
      <c r="E1" s="7"/>
      <c r="F1" s="7" t="s">
        <v>16</v>
      </c>
      <c r="G1" s="7" t="s">
        <v>14</v>
      </c>
      <c r="H1" s="7" t="s">
        <v>15</v>
      </c>
      <c r="I1" s="9" t="s">
        <v>10</v>
      </c>
      <c r="J1" s="7" t="s">
        <v>13</v>
      </c>
      <c r="K1" s="7"/>
      <c r="L1" s="7" t="s">
        <v>17</v>
      </c>
      <c r="M1" s="7" t="s">
        <v>0</v>
      </c>
      <c r="N1" s="7"/>
      <c r="O1" s="7" t="s">
        <v>1</v>
      </c>
      <c r="P1" s="9" t="s">
        <v>9</v>
      </c>
      <c r="Q1" s="7" t="s">
        <v>2</v>
      </c>
      <c r="R1" s="7" t="s">
        <v>5</v>
      </c>
      <c r="S1" s="7" t="s">
        <v>7</v>
      </c>
      <c r="T1" s="7" t="s">
        <v>8</v>
      </c>
      <c r="U1" s="7" t="s">
        <v>2</v>
      </c>
    </row>
    <row r="2" spans="1:21" s="17" customFormat="1" x14ac:dyDescent="0.3">
      <c r="A2" s="17">
        <v>1</v>
      </c>
      <c r="C2" s="17">
        <v>10</v>
      </c>
      <c r="D2" s="17">
        <v>11</v>
      </c>
      <c r="F2" s="17">
        <v>2</v>
      </c>
      <c r="G2" s="17">
        <v>3</v>
      </c>
      <c r="I2" s="17">
        <v>9</v>
      </c>
      <c r="J2" s="17">
        <v>12</v>
      </c>
      <c r="L2" s="17">
        <v>4</v>
      </c>
      <c r="M2" s="17">
        <v>5</v>
      </c>
      <c r="P2" s="17">
        <v>8</v>
      </c>
      <c r="Q2" s="17">
        <v>6</v>
      </c>
      <c r="R2" s="17">
        <v>7</v>
      </c>
    </row>
    <row r="3" spans="1:21" x14ac:dyDescent="0.3">
      <c r="A3" s="10">
        <v>0.05</v>
      </c>
      <c r="B3" s="11">
        <v>0.15</v>
      </c>
      <c r="C3" s="15">
        <f>(P3 * H3 + P7 *H7) * (G3 *(1 - G3)) * A3</f>
        <v>4.3856773447434658E-4</v>
      </c>
      <c r="D3">
        <f>B3 - A13 * C3</f>
        <v>0.14978071613276281</v>
      </c>
      <c r="E3" s="5"/>
      <c r="F3" s="4">
        <f>A3*B3 + A7* B4 + B5</f>
        <v>0.3775</v>
      </c>
      <c r="G3" s="14">
        <f>1 / (1 + EXP(-F3))</f>
        <v>0.59326999210718723</v>
      </c>
      <c r="H3" s="11">
        <v>0.4</v>
      </c>
      <c r="I3" s="15">
        <f>G3*P3</f>
        <v>8.216704056423077E-2</v>
      </c>
      <c r="J3">
        <f>H3-A13*I3</f>
        <v>0.35891647971788465</v>
      </c>
      <c r="K3" s="5"/>
      <c r="L3" s="4">
        <f xml:space="preserve"> G3 * H3 + G7 * H4 + H5</f>
        <v>1.10590596705977</v>
      </c>
      <c r="M3" s="13">
        <f>1 / (1 + EXP(-L3))</f>
        <v>0.75136506955231575</v>
      </c>
      <c r="N3" s="5"/>
      <c r="O3" s="16">
        <v>0.01</v>
      </c>
      <c r="P3" s="19">
        <f>(M3-O3) * M3* (1 - M3)</f>
        <v>0.13849856162855695</v>
      </c>
      <c r="Q3" s="2">
        <f>POWER((O3-M3),2) / 2</f>
        <v>0.27481108317615499</v>
      </c>
    </row>
    <row r="4" spans="1:21" x14ac:dyDescent="0.3">
      <c r="B4" s="11">
        <v>0.2</v>
      </c>
      <c r="C4" s="15">
        <f>(P3 * H3 + P7 *H7) * (G3 *(1 - G3)) * A7</f>
        <v>8.7713546894869316E-4</v>
      </c>
      <c r="D4">
        <f>B4 - A13 * C4</f>
        <v>0.19956143226552567</v>
      </c>
      <c r="E4" s="5"/>
      <c r="H4" s="11">
        <v>0.45</v>
      </c>
      <c r="I4" s="15">
        <f xml:space="preserve"> G7 * P3</f>
        <v>8.2667627847533245E-2</v>
      </c>
      <c r="J4">
        <f>H4-A13*I4</f>
        <v>0.4086661860762334</v>
      </c>
      <c r="K4" s="5"/>
      <c r="N4" s="5"/>
    </row>
    <row r="5" spans="1:21" x14ac:dyDescent="0.3">
      <c r="B5" s="12">
        <v>0.35</v>
      </c>
      <c r="C5" s="15">
        <f>(P3 * H3 + P7 *H7) * (G3 *(1 - G3))</f>
        <v>8.7713546894869314E-3</v>
      </c>
      <c r="D5">
        <f>B5 - A13 * C5</f>
        <v>0.34561432265525649</v>
      </c>
      <c r="E5" s="5"/>
      <c r="H5" s="12">
        <v>0.6</v>
      </c>
      <c r="I5" s="15">
        <f>P3</f>
        <v>0.13849856162855695</v>
      </c>
      <c r="J5">
        <f>H5-A13*I5</f>
        <v>0.53075071918572148</v>
      </c>
      <c r="K5" s="5"/>
      <c r="N5" s="5"/>
      <c r="R5" s="3">
        <f>Q3+Q7</f>
        <v>0.29837110876000272</v>
      </c>
    </row>
    <row r="6" spans="1:21" x14ac:dyDescent="0.3">
      <c r="E6" s="5"/>
      <c r="H6" s="11"/>
      <c r="K6" s="5"/>
      <c r="N6" s="5"/>
    </row>
    <row r="7" spans="1:21" x14ac:dyDescent="0.3">
      <c r="A7" s="10">
        <v>0.1</v>
      </c>
      <c r="B7" s="11">
        <v>0.25</v>
      </c>
      <c r="C7" s="15">
        <f>(P3 * H4 + P7 *H8) * (G7 *(1 - G7)) * A3</f>
        <v>4.9771273526085988E-4</v>
      </c>
      <c r="D7">
        <f>B7 - A13 * C7</f>
        <v>0.24975114363236958</v>
      </c>
      <c r="E7" s="5"/>
      <c r="F7" s="4">
        <f>A3* B7 + A7*B8 + B9</f>
        <v>0.39249999999999996</v>
      </c>
      <c r="G7" s="14">
        <f>1 / (1 + EXP(-F7))</f>
        <v>0.59688437825976703</v>
      </c>
      <c r="H7" s="11">
        <v>0.5</v>
      </c>
      <c r="I7" s="15">
        <f>G3*P7</f>
        <v>-2.2602540477475071E-2</v>
      </c>
      <c r="J7">
        <f>H7-A13*I7</f>
        <v>0.5113012702387375</v>
      </c>
      <c r="K7" s="5"/>
      <c r="L7" s="4">
        <f>G3*H7+G7*H8 + H9</f>
        <v>1.2249214040964653</v>
      </c>
      <c r="M7" s="13">
        <f>1 / (1 + EXP(-L7))</f>
        <v>0.77292846532146253</v>
      </c>
      <c r="N7" s="5"/>
      <c r="O7" s="16">
        <v>0.99</v>
      </c>
      <c r="P7" s="19">
        <f>(M7-O7) * M7* (1 - M7)</f>
        <v>-3.8098236516556236E-2</v>
      </c>
      <c r="Q7" s="2">
        <f>POWER((O7-M7),2)/2</f>
        <v>2.3560025583847746E-2</v>
      </c>
    </row>
    <row r="8" spans="1:21" x14ac:dyDescent="0.3">
      <c r="B8" s="11">
        <v>0.3</v>
      </c>
      <c r="C8" s="15">
        <f>(P3 * H4 + P7 *H8) * (G7 *(1 - G7)) * A7</f>
        <v>9.9542547052171976E-4</v>
      </c>
      <c r="D8">
        <f>B8 - A13 * C8</f>
        <v>0.29950228726473915</v>
      </c>
      <c r="E8" s="5"/>
      <c r="H8" s="11">
        <v>0.55000000000000004</v>
      </c>
      <c r="I8" s="15">
        <f>G7*P7</f>
        <v>-2.2740242215978222E-2</v>
      </c>
      <c r="J8">
        <f>H8-A13*I8</f>
        <v>0.56137012110798912</v>
      </c>
      <c r="K8" s="5"/>
      <c r="N8" s="5"/>
    </row>
    <row r="9" spans="1:21" x14ac:dyDescent="0.3">
      <c r="A9" s="1">
        <v>1</v>
      </c>
      <c r="B9" s="12">
        <v>0.35</v>
      </c>
      <c r="C9" s="15">
        <f>(P3 * H4 + P7 *H8) * (G7 *(1 - G7))</f>
        <v>9.9542547052171981E-3</v>
      </c>
      <c r="D9">
        <f>B9 - A13 * C9</f>
        <v>0.3450228726473914</v>
      </c>
      <c r="E9" s="5"/>
      <c r="G9" s="1">
        <v>1</v>
      </c>
      <c r="H9" s="12">
        <v>0.6</v>
      </c>
      <c r="I9" s="15">
        <f>P7</f>
        <v>-3.8098236516556236E-2</v>
      </c>
      <c r="J9">
        <f>H9-A13*I9</f>
        <v>0.61904911825827813</v>
      </c>
      <c r="K9" s="5"/>
      <c r="N9" s="5"/>
      <c r="O9" s="18"/>
      <c r="P9" s="18"/>
      <c r="Q9" s="18"/>
      <c r="R9" s="18"/>
    </row>
    <row r="10" spans="1:21" ht="6.6" customHeight="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2" spans="1:21" x14ac:dyDescent="0.3">
      <c r="A12" s="6" t="s">
        <v>3</v>
      </c>
      <c r="C12" s="6" t="s">
        <v>6</v>
      </c>
    </row>
    <row r="13" spans="1:21" x14ac:dyDescent="0.3">
      <c r="A13">
        <v>0.5</v>
      </c>
      <c r="C13">
        <v>1000</v>
      </c>
    </row>
  </sheetData>
  <pageMargins left="0.25" right="0.25" top="0.75" bottom="0.75" header="0.3" footer="0.3"/>
  <pageSetup paperSize="9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3</xdr:col>
                    <xdr:colOff>7620</xdr:colOff>
                    <xdr:row>10</xdr:row>
                    <xdr:rowOff>182880</xdr:rowOff>
                  </from>
                  <to>
                    <xdr:col>3</xdr:col>
                    <xdr:colOff>876300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4</xdr:col>
                    <xdr:colOff>83820</xdr:colOff>
                    <xdr:row>10</xdr:row>
                    <xdr:rowOff>182880</xdr:rowOff>
                  </from>
                  <to>
                    <xdr:col>6</xdr:col>
                    <xdr:colOff>91440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</vt:i4>
      </vt:variant>
      <vt:variant>
        <vt:lpstr>Namngivna områden</vt:lpstr>
      </vt:variant>
      <vt:variant>
        <vt:i4>1</vt:i4>
      </vt:variant>
    </vt:vector>
  </HeadingPairs>
  <TitlesOfParts>
    <vt:vector size="2" baseType="lpstr">
      <vt:lpstr>Blad1</vt:lpstr>
      <vt:lpstr>Blad1!Utskriftsområde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Kristian</dc:creator>
  <cp:lastModifiedBy>Kristian</cp:lastModifiedBy>
  <cp:lastPrinted>2018-12-28T17:53:29Z</cp:lastPrinted>
  <dcterms:created xsi:type="dcterms:W3CDTF">2018-12-04T18:57:41Z</dcterms:created>
  <dcterms:modified xsi:type="dcterms:W3CDTF">2018-12-30T20:15:36Z</dcterms:modified>
</cp:coreProperties>
</file>